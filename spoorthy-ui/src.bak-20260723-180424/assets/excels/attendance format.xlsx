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zlite\spoorthy\spoorthyui\src\assets\excels\"/>
    </mc:Choice>
  </mc:AlternateContent>
  <bookViews>
    <workbookView xWindow="0" yWindow="0" windowWidth="28800" windowHeight="11910"/>
  </bookViews>
  <sheets>
    <sheet name="ATTDNS SEP 2022" sheetId="4" r:id="rId1"/>
  </sheets>
  <definedNames>
    <definedName name="_xlnm._FilterDatabase" localSheetId="0" hidden="1">'ATTDNS SEP 2022'!$A$7:$AO$17</definedName>
    <definedName name="_xlnm.Print_Titles" localSheetId="0">'ATTDNS SEP 2022'!$7:$7</definedName>
  </definedNames>
  <calcPr calcId="152511"/>
</workbook>
</file>

<file path=xl/calcChain.xml><?xml version="1.0" encoding="utf-8"?>
<calcChain xmlns="http://schemas.openxmlformats.org/spreadsheetml/2006/main">
  <c r="AM18" i="4" l="1"/>
  <c r="AL18" i="4"/>
  <c r="AK18" i="4"/>
  <c r="AJ18" i="4"/>
  <c r="AN18" i="4" s="1"/>
  <c r="E22" i="4" l="1"/>
  <c r="AH21" i="4" l="1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AM17" i="4"/>
  <c r="AL17" i="4"/>
  <c r="AK17" i="4"/>
  <c r="AJ17" i="4"/>
  <c r="AM16" i="4"/>
  <c r="AL16" i="4"/>
  <c r="AK16" i="4"/>
  <c r="AJ16" i="4"/>
  <c r="AM15" i="4"/>
  <c r="AL15" i="4"/>
  <c r="AK15" i="4"/>
  <c r="AJ15" i="4"/>
  <c r="AM14" i="4"/>
  <c r="AL14" i="4"/>
  <c r="AK14" i="4"/>
  <c r="AJ14" i="4"/>
  <c r="AM13" i="4"/>
  <c r="AL13" i="4"/>
  <c r="AK13" i="4"/>
  <c r="AJ13" i="4"/>
  <c r="AM12" i="4"/>
  <c r="AL12" i="4"/>
  <c r="AK12" i="4"/>
  <c r="AJ12" i="4"/>
  <c r="AM11" i="4"/>
  <c r="AL11" i="4"/>
  <c r="AK11" i="4"/>
  <c r="AJ11" i="4"/>
  <c r="AM10" i="4"/>
  <c r="AL10" i="4"/>
  <c r="AK10" i="4"/>
  <c r="AJ10" i="4"/>
  <c r="AM9" i="4"/>
  <c r="AL9" i="4"/>
  <c r="AK9" i="4"/>
  <c r="AJ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M8" i="4"/>
  <c r="AL8" i="4"/>
  <c r="AK8" i="4"/>
  <c r="AJ8" i="4"/>
  <c r="AN11" i="4" l="1"/>
  <c r="AN12" i="4"/>
  <c r="AN14" i="4"/>
  <c r="AN16" i="4"/>
  <c r="AN10" i="4"/>
  <c r="AN15" i="4"/>
  <c r="AN9" i="4"/>
  <c r="AJ21" i="4"/>
  <c r="AN8" i="4"/>
  <c r="AN13" i="4"/>
  <c r="AJ20" i="4"/>
  <c r="AJ19" i="4"/>
  <c r="AN17" i="4"/>
  <c r="AJ22" i="4" l="1"/>
</calcChain>
</file>

<file path=xl/sharedStrings.xml><?xml version="1.0" encoding="utf-8"?>
<sst xmlns="http://schemas.openxmlformats.org/spreadsheetml/2006/main" count="396" uniqueCount="48">
  <si>
    <t>Emp Id</t>
  </si>
  <si>
    <t>Employee Name</t>
  </si>
  <si>
    <t>Designation</t>
  </si>
  <si>
    <t>Nursing Officer</t>
  </si>
  <si>
    <t>Sl NO</t>
  </si>
  <si>
    <t>Total "P"</t>
  </si>
  <si>
    <t>Total "H"</t>
  </si>
  <si>
    <t>Total Pay Days</t>
  </si>
  <si>
    <t>Remarks</t>
  </si>
  <si>
    <t>P</t>
  </si>
  <si>
    <t>Soujanya S</t>
  </si>
  <si>
    <t>Chaithra C</t>
  </si>
  <si>
    <t>Raju</t>
  </si>
  <si>
    <t>M Sowjanya</t>
  </si>
  <si>
    <t>Darshan S</t>
  </si>
  <si>
    <t>Anil Kumar</t>
  </si>
  <si>
    <t>Sachin Sangappa Kumatagi</t>
  </si>
  <si>
    <t>W/O</t>
  </si>
  <si>
    <t>Emploer: Spoorthy Integrated Solutions (I) Pvt. Ltd</t>
  </si>
  <si>
    <t>Total "W/O"</t>
  </si>
  <si>
    <t>Bengaluru</t>
  </si>
  <si>
    <t>A</t>
  </si>
  <si>
    <t>C/L</t>
  </si>
  <si>
    <t>PAVITHRA C</t>
  </si>
  <si>
    <t>Total "C/L"</t>
  </si>
  <si>
    <t>Madhuchandra</t>
  </si>
  <si>
    <t>Pradha H L</t>
  </si>
  <si>
    <t>Total W/L</t>
  </si>
  <si>
    <t>Total C/L</t>
  </si>
  <si>
    <t>Total Preset (P)</t>
  </si>
  <si>
    <t>SISIPL00001</t>
  </si>
  <si>
    <t>SISIPL00002</t>
  </si>
  <si>
    <t>SISIPL00003</t>
  </si>
  <si>
    <t>SISIPL00004</t>
  </si>
  <si>
    <t>SISIPL00005</t>
  </si>
  <si>
    <t>SISIPL00006</t>
  </si>
  <si>
    <t>SISIPL00007</t>
  </si>
  <si>
    <t>SISIPL00008</t>
  </si>
  <si>
    <t>SISIPL00009</t>
  </si>
  <si>
    <t>SISIPL000010</t>
  </si>
  <si>
    <t>-</t>
  </si>
  <si>
    <t>Principle Employer:</t>
  </si>
  <si>
    <t xml:space="preserve">Attendace Month </t>
  </si>
  <si>
    <t>SEPTEMBER</t>
  </si>
  <si>
    <t>Attendace Year</t>
  </si>
  <si>
    <t>WorkOrder Name</t>
  </si>
  <si>
    <t>bangalore development authority</t>
  </si>
  <si>
    <t>Security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</si>
</sst>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left" wrapText="1"/>
      <protection locked="0"/>
    </xf>
    <xf numFmtId="0" fontId="4" fillId="0" borderId="1" xfId="0" applyFont="1" applyFill="1" applyBorder="1" applyProtection="1"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22"/>
  <sheetViews>
    <sheetView tabSelected="1" zoomScale="70" zoomScaleNormal="70" workbookViewId="0">
      <selection activeCell="A2" sqref="A2:B2"/>
    </sheetView>
  </sheetViews>
  <sheetFormatPr defaultRowHeight="15" x14ac:dyDescent="0.25"/>
  <cols>
    <col min="1" max="1" width="11.28515625" style="13" customWidth="1"/>
    <col min="2" max="2" width="11.28515625" style="3" bestFit="1" customWidth="1"/>
    <col min="3" max="3" width="38.85546875" style="3" customWidth="1"/>
    <col min="4" max="4" width="16.28515625" style="3" bestFit="1" customWidth="1"/>
    <col min="5" max="5" width="6.7109375" style="3" customWidth="1"/>
    <col min="6" max="6" width="7.42578125" style="3" customWidth="1"/>
    <col min="7" max="7" width="6.28515625" style="3" customWidth="1"/>
    <col min="8" max="8" width="5.42578125" style="3" customWidth="1"/>
    <col min="9" max="9" width="6.28515625" style="3" customWidth="1"/>
    <col min="10" max="10" width="6" style="3" customWidth="1"/>
    <col min="11" max="11" width="6.5703125" style="3" customWidth="1"/>
    <col min="12" max="12" width="5.42578125" style="3" customWidth="1"/>
    <col min="13" max="13" width="5.5703125" style="3" customWidth="1"/>
    <col min="14" max="14" width="5.7109375" style="3" customWidth="1"/>
    <col min="15" max="15" width="5.42578125" style="3" customWidth="1"/>
    <col min="16" max="17" width="6.28515625" style="3" customWidth="1"/>
    <col min="18" max="18" width="6.85546875" style="3" customWidth="1"/>
    <col min="19" max="20" width="6.7109375" style="3" customWidth="1"/>
    <col min="21" max="21" width="5.85546875" style="3" customWidth="1"/>
    <col min="22" max="22" width="6.28515625" style="3" customWidth="1"/>
    <col min="23" max="23" width="6.7109375" style="3" customWidth="1"/>
    <col min="24" max="24" width="5.140625" style="3" customWidth="1"/>
    <col min="25" max="25" width="6.28515625" style="3" customWidth="1"/>
    <col min="26" max="26" width="5.28515625" style="3" customWidth="1"/>
    <col min="27" max="27" width="5.85546875" style="3" customWidth="1"/>
    <col min="28" max="28" width="5.140625" style="3" customWidth="1"/>
    <col min="29" max="29" width="6.7109375" style="3" customWidth="1"/>
    <col min="30" max="30" width="5.85546875" style="3" customWidth="1"/>
    <col min="31" max="31" width="5.5703125" style="3" customWidth="1"/>
    <col min="32" max="32" width="6.5703125" style="3" customWidth="1"/>
    <col min="33" max="33" width="5.85546875" style="3" customWidth="1"/>
    <col min="34" max="35" width="6.85546875" style="3" customWidth="1"/>
    <col min="36" max="16384" width="9.140625" style="3"/>
  </cols>
  <sheetData>
    <row r="1" spans="1:41" ht="17.25" x14ac:dyDescent="0.3">
      <c r="A1" s="23" t="s">
        <v>41</v>
      </c>
      <c r="B1" s="23"/>
      <c r="C1" s="21" t="s">
        <v>46</v>
      </c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 t="s">
        <v>18</v>
      </c>
      <c r="AK1" s="1"/>
      <c r="AL1" s="1"/>
      <c r="AM1" s="1"/>
      <c r="AN1" s="1"/>
      <c r="AO1" s="1"/>
    </row>
    <row r="2" spans="1:41" ht="17.25" x14ac:dyDescent="0.3">
      <c r="A2" s="23" t="s">
        <v>45</v>
      </c>
      <c r="B2" s="23"/>
      <c r="C2" s="21" t="s">
        <v>47</v>
      </c>
      <c r="D2" s="21"/>
      <c r="E2" s="21"/>
      <c r="F2" s="21"/>
      <c r="G2" s="21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/>
      <c r="AK2" s="1"/>
      <c r="AL2" s="1"/>
      <c r="AM2" s="1"/>
      <c r="AN2" s="1"/>
      <c r="AO2" s="1"/>
    </row>
    <row r="3" spans="1:41" ht="17.25" x14ac:dyDescent="0.3">
      <c r="A3" s="24" t="s">
        <v>42</v>
      </c>
      <c r="B3" s="24"/>
      <c r="C3" s="22" t="s">
        <v>43</v>
      </c>
      <c r="D3" s="22"/>
      <c r="E3" s="22"/>
      <c r="F3" s="22"/>
      <c r="G3" s="22"/>
      <c r="H3" s="2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 t="s">
        <v>20</v>
      </c>
      <c r="AK3" s="1"/>
      <c r="AL3" s="1"/>
      <c r="AM3" s="1"/>
      <c r="AN3" s="1"/>
      <c r="AO3" s="1"/>
    </row>
    <row r="4" spans="1:41" ht="17.25" x14ac:dyDescent="0.3">
      <c r="A4" s="24" t="s">
        <v>44</v>
      </c>
      <c r="B4" s="24"/>
      <c r="C4" s="22">
        <v>2022</v>
      </c>
      <c r="D4" s="22"/>
      <c r="E4" s="22"/>
      <c r="F4" s="22"/>
      <c r="G4" s="22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7.25" x14ac:dyDescent="0.3">
      <c r="A5" s="20"/>
      <c r="B5" s="20"/>
      <c r="C5" s="20"/>
      <c r="D5" s="20"/>
      <c r="E5" s="20"/>
      <c r="F5" s="20"/>
      <c r="G5" s="20"/>
      <c r="H5" s="2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7.25" x14ac:dyDescent="0.3">
      <c r="A6" s="19"/>
      <c r="B6" s="19"/>
      <c r="C6" s="19"/>
      <c r="D6" s="19"/>
      <c r="E6" s="19"/>
      <c r="F6" s="19"/>
      <c r="G6" s="19"/>
      <c r="H6" s="1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18" customFormat="1" ht="51.75" x14ac:dyDescent="0.25">
      <c r="A7" s="14" t="s">
        <v>4</v>
      </c>
      <c r="B7" s="14" t="s">
        <v>0</v>
      </c>
      <c r="C7" s="14" t="s">
        <v>1</v>
      </c>
      <c r="D7" s="14" t="s">
        <v>2</v>
      </c>
      <c r="E7" s="15">
        <v>1</v>
      </c>
      <c r="F7" s="15">
        <v>2</v>
      </c>
      <c r="G7" s="15">
        <v>3</v>
      </c>
      <c r="H7" s="15">
        <v>4</v>
      </c>
      <c r="I7" s="15">
        <v>5</v>
      </c>
      <c r="J7" s="15">
        <v>6</v>
      </c>
      <c r="K7" s="15">
        <v>7</v>
      </c>
      <c r="L7" s="15">
        <v>8</v>
      </c>
      <c r="M7" s="15">
        <v>9</v>
      </c>
      <c r="N7" s="15">
        <v>10</v>
      </c>
      <c r="O7" s="15">
        <v>11</v>
      </c>
      <c r="P7" s="15">
        <v>12</v>
      </c>
      <c r="Q7" s="15">
        <v>13</v>
      </c>
      <c r="R7" s="15">
        <v>14</v>
      </c>
      <c r="S7" s="15">
        <v>15</v>
      </c>
      <c r="T7" s="15">
        <v>16</v>
      </c>
      <c r="U7" s="15">
        <v>17</v>
      </c>
      <c r="V7" s="15">
        <v>18</v>
      </c>
      <c r="W7" s="15">
        <v>19</v>
      </c>
      <c r="X7" s="15">
        <v>20</v>
      </c>
      <c r="Y7" s="15">
        <v>21</v>
      </c>
      <c r="Z7" s="15">
        <v>22</v>
      </c>
      <c r="AA7" s="16">
        <v>23</v>
      </c>
      <c r="AB7" s="15">
        <v>24</v>
      </c>
      <c r="AC7" s="15">
        <v>25</v>
      </c>
      <c r="AD7" s="15">
        <v>26</v>
      </c>
      <c r="AE7" s="15">
        <v>27</v>
      </c>
      <c r="AF7" s="15">
        <v>28</v>
      </c>
      <c r="AG7" s="15">
        <v>29</v>
      </c>
      <c r="AH7" s="15">
        <v>30</v>
      </c>
      <c r="AI7" s="15">
        <v>31</v>
      </c>
      <c r="AJ7" s="17" t="s">
        <v>5</v>
      </c>
      <c r="AK7" s="17" t="s">
        <v>19</v>
      </c>
      <c r="AL7" s="17" t="s">
        <v>24</v>
      </c>
      <c r="AM7" s="17" t="s">
        <v>6</v>
      </c>
      <c r="AN7" s="17" t="s">
        <v>7</v>
      </c>
      <c r="AO7" s="15" t="s">
        <v>8</v>
      </c>
    </row>
    <row r="8" spans="1:41" ht="30" customHeight="1" x14ac:dyDescent="0.3">
      <c r="A8" s="4">
        <v>1</v>
      </c>
      <c r="B8" s="5" t="s">
        <v>30</v>
      </c>
      <c r="C8" s="6" t="s">
        <v>10</v>
      </c>
      <c r="D8" s="7" t="s">
        <v>3</v>
      </c>
      <c r="E8" s="4" t="s">
        <v>9</v>
      </c>
      <c r="F8" s="4" t="s">
        <v>9</v>
      </c>
      <c r="G8" s="4" t="s">
        <v>9</v>
      </c>
      <c r="H8" s="8" t="s">
        <v>17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4" t="s">
        <v>9</v>
      </c>
      <c r="O8" s="8" t="s">
        <v>17</v>
      </c>
      <c r="P8" s="4" t="s">
        <v>9</v>
      </c>
      <c r="Q8" s="9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8" t="s">
        <v>17</v>
      </c>
      <c r="W8" s="4" t="s">
        <v>9</v>
      </c>
      <c r="X8" s="4" t="s">
        <v>9</v>
      </c>
      <c r="Y8" s="9" t="s">
        <v>9</v>
      </c>
      <c r="Z8" s="4" t="s">
        <v>9</v>
      </c>
      <c r="AA8" s="4" t="s">
        <v>9</v>
      </c>
      <c r="AB8" s="4" t="s">
        <v>9</v>
      </c>
      <c r="AC8" s="8" t="s">
        <v>17</v>
      </c>
      <c r="AD8" s="4" t="s">
        <v>9</v>
      </c>
      <c r="AE8" s="9" t="s">
        <v>9</v>
      </c>
      <c r="AF8" s="9" t="s">
        <v>9</v>
      </c>
      <c r="AG8" s="4" t="s">
        <v>9</v>
      </c>
      <c r="AH8" s="4" t="s">
        <v>9</v>
      </c>
      <c r="AI8" s="4" t="s">
        <v>40</v>
      </c>
      <c r="AJ8" s="10">
        <f t="shared" ref="AJ8:AJ18" si="0">COUNTIF(E8:AH8,"P")</f>
        <v>26</v>
      </c>
      <c r="AK8" s="10">
        <f t="shared" ref="AK8:AK18" si="1">COUNTIF(E8:AH8,"W/O")</f>
        <v>4</v>
      </c>
      <c r="AL8" s="10">
        <f t="shared" ref="AL8:AL18" si="2">COUNTIF(E8:AH8,"C/L")</f>
        <v>0</v>
      </c>
      <c r="AM8" s="10">
        <f t="shared" ref="AM8:AM18" si="3">COUNTIF(E8:AH8,"H")</f>
        <v>0</v>
      </c>
      <c r="AN8" s="10">
        <f t="shared" ref="AN8:AN17" si="4">AJ8+AK8+AL8</f>
        <v>30</v>
      </c>
      <c r="AO8" s="11"/>
    </row>
    <row r="9" spans="1:41" ht="30" customHeight="1" x14ac:dyDescent="0.3">
      <c r="A9" s="4">
        <f>A8+1</f>
        <v>2</v>
      </c>
      <c r="B9" s="5" t="s">
        <v>31</v>
      </c>
      <c r="C9" s="6" t="s">
        <v>11</v>
      </c>
      <c r="D9" s="7" t="s">
        <v>3</v>
      </c>
      <c r="E9" s="4" t="s">
        <v>9</v>
      </c>
      <c r="F9" s="4" t="s">
        <v>9</v>
      </c>
      <c r="G9" s="4" t="s">
        <v>9</v>
      </c>
      <c r="H9" s="8" t="s">
        <v>17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  <c r="N9" s="4" t="s">
        <v>9</v>
      </c>
      <c r="O9" s="8" t="s">
        <v>17</v>
      </c>
      <c r="P9" s="4" t="s">
        <v>9</v>
      </c>
      <c r="Q9" s="4" t="s">
        <v>9</v>
      </c>
      <c r="R9" s="9" t="s">
        <v>9</v>
      </c>
      <c r="S9" s="4" t="s">
        <v>9</v>
      </c>
      <c r="T9" s="4" t="s">
        <v>9</v>
      </c>
      <c r="U9" s="4" t="s">
        <v>9</v>
      </c>
      <c r="V9" s="8" t="s">
        <v>17</v>
      </c>
      <c r="W9" s="4" t="s">
        <v>9</v>
      </c>
      <c r="X9" s="4" t="s">
        <v>9</v>
      </c>
      <c r="Y9" s="4" t="s">
        <v>9</v>
      </c>
      <c r="Z9" s="4" t="s">
        <v>9</v>
      </c>
      <c r="AA9" s="4" t="s">
        <v>9</v>
      </c>
      <c r="AB9" s="4" t="s">
        <v>9</v>
      </c>
      <c r="AC9" s="8" t="s">
        <v>17</v>
      </c>
      <c r="AD9" s="4" t="s">
        <v>9</v>
      </c>
      <c r="AE9" s="4" t="s">
        <v>9</v>
      </c>
      <c r="AF9" s="4" t="s">
        <v>9</v>
      </c>
      <c r="AG9" s="4" t="s">
        <v>9</v>
      </c>
      <c r="AH9" s="4" t="s">
        <v>9</v>
      </c>
      <c r="AI9" s="4" t="s">
        <v>40</v>
      </c>
      <c r="AJ9" s="10">
        <f t="shared" si="0"/>
        <v>26</v>
      </c>
      <c r="AK9" s="10">
        <f t="shared" si="1"/>
        <v>4</v>
      </c>
      <c r="AL9" s="10">
        <f t="shared" si="2"/>
        <v>0</v>
      </c>
      <c r="AM9" s="10">
        <f t="shared" si="3"/>
        <v>0</v>
      </c>
      <c r="AN9" s="10">
        <f t="shared" si="4"/>
        <v>30</v>
      </c>
      <c r="AO9" s="11"/>
    </row>
    <row r="10" spans="1:41" ht="30" customHeight="1" x14ac:dyDescent="0.3">
      <c r="A10" s="4">
        <f t="shared" ref="A10:A18" si="5">A9+1</f>
        <v>3</v>
      </c>
      <c r="B10" s="5" t="s">
        <v>32</v>
      </c>
      <c r="C10" s="6" t="s">
        <v>23</v>
      </c>
      <c r="D10" s="7" t="s">
        <v>3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  <c r="N10" s="4" t="s">
        <v>9</v>
      </c>
      <c r="O10" s="4" t="s">
        <v>9</v>
      </c>
      <c r="P10" s="4" t="s">
        <v>9</v>
      </c>
      <c r="Q10" s="4" t="s">
        <v>9</v>
      </c>
      <c r="R10" s="4" t="s">
        <v>9</v>
      </c>
      <c r="S10" s="8" t="s">
        <v>17</v>
      </c>
      <c r="T10" s="4" t="s">
        <v>9</v>
      </c>
      <c r="U10" s="4" t="s">
        <v>9</v>
      </c>
      <c r="V10" s="4" t="s">
        <v>9</v>
      </c>
      <c r="W10" s="4" t="s">
        <v>9</v>
      </c>
      <c r="X10" s="8" t="s">
        <v>17</v>
      </c>
      <c r="Y10" s="4" t="s">
        <v>9</v>
      </c>
      <c r="Z10" s="4" t="s">
        <v>9</v>
      </c>
      <c r="AA10" s="4" t="s">
        <v>9</v>
      </c>
      <c r="AB10" s="8" t="s">
        <v>17</v>
      </c>
      <c r="AC10" s="8" t="s">
        <v>22</v>
      </c>
      <c r="AD10" s="4" t="s">
        <v>9</v>
      </c>
      <c r="AE10" s="4" t="s">
        <v>9</v>
      </c>
      <c r="AF10" s="4" t="s">
        <v>9</v>
      </c>
      <c r="AG10" s="4" t="s">
        <v>9</v>
      </c>
      <c r="AH10" s="4" t="s">
        <v>9</v>
      </c>
      <c r="AI10" s="4" t="s">
        <v>40</v>
      </c>
      <c r="AJ10" s="10">
        <f t="shared" si="0"/>
        <v>26</v>
      </c>
      <c r="AK10" s="10">
        <f t="shared" si="1"/>
        <v>3</v>
      </c>
      <c r="AL10" s="10">
        <f t="shared" si="2"/>
        <v>1</v>
      </c>
      <c r="AM10" s="10">
        <f t="shared" si="3"/>
        <v>0</v>
      </c>
      <c r="AN10" s="10">
        <f t="shared" si="4"/>
        <v>30</v>
      </c>
      <c r="AO10" s="11"/>
    </row>
    <row r="11" spans="1:41" ht="30" customHeight="1" x14ac:dyDescent="0.3">
      <c r="A11" s="4">
        <f t="shared" si="5"/>
        <v>4</v>
      </c>
      <c r="B11" s="5" t="s">
        <v>33</v>
      </c>
      <c r="C11" s="6" t="s">
        <v>12</v>
      </c>
      <c r="D11" s="7" t="s">
        <v>3</v>
      </c>
      <c r="E11" s="4" t="s">
        <v>9</v>
      </c>
      <c r="F11" s="4" t="s">
        <v>9</v>
      </c>
      <c r="G11" s="4" t="s">
        <v>9</v>
      </c>
      <c r="H11" s="8" t="s">
        <v>17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9</v>
      </c>
      <c r="O11" s="4" t="s">
        <v>9</v>
      </c>
      <c r="P11" s="4" t="s">
        <v>9</v>
      </c>
      <c r="Q11" s="4" t="s">
        <v>9</v>
      </c>
      <c r="R11" s="4" t="s">
        <v>9</v>
      </c>
      <c r="S11" s="4" t="s">
        <v>9</v>
      </c>
      <c r="T11" s="4" t="s">
        <v>9</v>
      </c>
      <c r="U11" s="4" t="s">
        <v>9</v>
      </c>
      <c r="V11" s="8" t="s">
        <v>17</v>
      </c>
      <c r="W11" s="4" t="s">
        <v>9</v>
      </c>
      <c r="X11" s="4" t="s">
        <v>9</v>
      </c>
      <c r="Y11" s="4" t="s">
        <v>9</v>
      </c>
      <c r="Z11" s="4" t="s">
        <v>9</v>
      </c>
      <c r="AA11" s="4" t="s">
        <v>9</v>
      </c>
      <c r="AB11" s="4" t="s">
        <v>9</v>
      </c>
      <c r="AC11" s="8" t="s">
        <v>17</v>
      </c>
      <c r="AD11" s="4" t="s">
        <v>9</v>
      </c>
      <c r="AE11" s="4" t="s">
        <v>9</v>
      </c>
      <c r="AF11" s="4" t="s">
        <v>9</v>
      </c>
      <c r="AG11" s="4" t="s">
        <v>9</v>
      </c>
      <c r="AH11" s="4" t="s">
        <v>9</v>
      </c>
      <c r="AI11" s="4" t="s">
        <v>40</v>
      </c>
      <c r="AJ11" s="10">
        <f t="shared" si="0"/>
        <v>27</v>
      </c>
      <c r="AK11" s="10">
        <f t="shared" si="1"/>
        <v>3</v>
      </c>
      <c r="AL11" s="10">
        <f t="shared" si="2"/>
        <v>0</v>
      </c>
      <c r="AM11" s="10">
        <f t="shared" si="3"/>
        <v>0</v>
      </c>
      <c r="AN11" s="10">
        <f t="shared" si="4"/>
        <v>30</v>
      </c>
      <c r="AO11" s="11"/>
    </row>
    <row r="12" spans="1:41" ht="30" customHeight="1" x14ac:dyDescent="0.3">
      <c r="A12" s="4">
        <f t="shared" si="5"/>
        <v>5</v>
      </c>
      <c r="B12" s="5" t="s">
        <v>34</v>
      </c>
      <c r="C12" s="6" t="s">
        <v>13</v>
      </c>
      <c r="D12" s="7" t="s">
        <v>3</v>
      </c>
      <c r="E12" s="8" t="s">
        <v>17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  <c r="P12" s="4" t="s">
        <v>9</v>
      </c>
      <c r="Q12" s="4" t="s">
        <v>9</v>
      </c>
      <c r="R12" s="4" t="s">
        <v>9</v>
      </c>
      <c r="S12" s="4" t="s">
        <v>9</v>
      </c>
      <c r="T12" s="4" t="s">
        <v>9</v>
      </c>
      <c r="U12" s="4" t="s">
        <v>9</v>
      </c>
      <c r="V12" s="8" t="s">
        <v>17</v>
      </c>
      <c r="W12" s="4" t="s">
        <v>9</v>
      </c>
      <c r="X12" s="4" t="s">
        <v>9</v>
      </c>
      <c r="Y12" s="9" t="s">
        <v>9</v>
      </c>
      <c r="Z12" s="4" t="s">
        <v>9</v>
      </c>
      <c r="AA12" s="4" t="s">
        <v>9</v>
      </c>
      <c r="AB12" s="8" t="s">
        <v>17</v>
      </c>
      <c r="AC12" s="8" t="s">
        <v>17</v>
      </c>
      <c r="AD12" s="4" t="s">
        <v>9</v>
      </c>
      <c r="AE12" s="4" t="s">
        <v>9</v>
      </c>
      <c r="AF12" s="4" t="s">
        <v>9</v>
      </c>
      <c r="AG12" s="4" t="s">
        <v>9</v>
      </c>
      <c r="AH12" s="4" t="s">
        <v>9</v>
      </c>
      <c r="AI12" s="4" t="s">
        <v>40</v>
      </c>
      <c r="AJ12" s="10">
        <f t="shared" si="0"/>
        <v>26</v>
      </c>
      <c r="AK12" s="10">
        <f t="shared" si="1"/>
        <v>4</v>
      </c>
      <c r="AL12" s="10">
        <f t="shared" si="2"/>
        <v>0</v>
      </c>
      <c r="AM12" s="10">
        <f t="shared" si="3"/>
        <v>0</v>
      </c>
      <c r="AN12" s="10">
        <f t="shared" si="4"/>
        <v>30</v>
      </c>
      <c r="AO12" s="11"/>
    </row>
    <row r="13" spans="1:41" ht="30" customHeight="1" x14ac:dyDescent="0.3">
      <c r="A13" s="4">
        <f t="shared" si="5"/>
        <v>6</v>
      </c>
      <c r="B13" s="5" t="s">
        <v>35</v>
      </c>
      <c r="C13" s="6" t="s">
        <v>25</v>
      </c>
      <c r="D13" s="7" t="s">
        <v>3</v>
      </c>
      <c r="E13" s="4" t="s">
        <v>9</v>
      </c>
      <c r="F13" s="4" t="s">
        <v>9</v>
      </c>
      <c r="G13" s="4" t="s">
        <v>9</v>
      </c>
      <c r="H13" s="8" t="s">
        <v>17</v>
      </c>
      <c r="I13" s="4" t="s">
        <v>9</v>
      </c>
      <c r="J13" s="4" t="s">
        <v>9</v>
      </c>
      <c r="K13" s="4" t="s">
        <v>9</v>
      </c>
      <c r="L13" s="4" t="s">
        <v>9</v>
      </c>
      <c r="M13" s="4" t="s">
        <v>9</v>
      </c>
      <c r="N13" s="4" t="s">
        <v>9</v>
      </c>
      <c r="O13" s="8" t="s">
        <v>17</v>
      </c>
      <c r="P13" s="4" t="s">
        <v>9</v>
      </c>
      <c r="Q13" s="4" t="s">
        <v>9</v>
      </c>
      <c r="R13" s="4" t="s">
        <v>9</v>
      </c>
      <c r="S13" s="4" t="s">
        <v>9</v>
      </c>
      <c r="T13" s="4" t="s">
        <v>9</v>
      </c>
      <c r="U13" s="4" t="s">
        <v>9</v>
      </c>
      <c r="V13" s="4" t="s">
        <v>9</v>
      </c>
      <c r="W13" s="8" t="s">
        <v>22</v>
      </c>
      <c r="X13" s="8" t="s">
        <v>17</v>
      </c>
      <c r="Y13" s="4" t="s">
        <v>9</v>
      </c>
      <c r="Z13" s="4" t="s">
        <v>9</v>
      </c>
      <c r="AA13" s="4" t="s">
        <v>9</v>
      </c>
      <c r="AB13" s="4" t="s">
        <v>9</v>
      </c>
      <c r="AC13" s="4" t="s">
        <v>9</v>
      </c>
      <c r="AD13" s="4" t="s">
        <v>9</v>
      </c>
      <c r="AE13" s="4" t="s">
        <v>9</v>
      </c>
      <c r="AF13" s="8" t="s">
        <v>17</v>
      </c>
      <c r="AG13" s="8" t="s">
        <v>22</v>
      </c>
      <c r="AH13" s="4" t="s">
        <v>9</v>
      </c>
      <c r="AI13" s="4" t="s">
        <v>40</v>
      </c>
      <c r="AJ13" s="10">
        <f t="shared" si="0"/>
        <v>24</v>
      </c>
      <c r="AK13" s="10">
        <f t="shared" si="1"/>
        <v>4</v>
      </c>
      <c r="AL13" s="10">
        <f t="shared" si="2"/>
        <v>2</v>
      </c>
      <c r="AM13" s="10">
        <f t="shared" si="3"/>
        <v>0</v>
      </c>
      <c r="AN13" s="10">
        <f t="shared" si="4"/>
        <v>30</v>
      </c>
      <c r="AO13" s="11"/>
    </row>
    <row r="14" spans="1:41" ht="30" customHeight="1" x14ac:dyDescent="0.3">
      <c r="A14" s="4">
        <f t="shared" si="5"/>
        <v>7</v>
      </c>
      <c r="B14" s="5" t="s">
        <v>36</v>
      </c>
      <c r="C14" s="6" t="s">
        <v>14</v>
      </c>
      <c r="D14" s="7" t="s">
        <v>3</v>
      </c>
      <c r="E14" s="4" t="s">
        <v>9</v>
      </c>
      <c r="F14" s="4" t="s">
        <v>9</v>
      </c>
      <c r="G14" s="4" t="s">
        <v>9</v>
      </c>
      <c r="H14" s="8" t="s">
        <v>17</v>
      </c>
      <c r="I14" s="4" t="s">
        <v>9</v>
      </c>
      <c r="J14" s="4" t="s">
        <v>9</v>
      </c>
      <c r="K14" s="4" t="s">
        <v>9</v>
      </c>
      <c r="L14" s="4" t="s">
        <v>9</v>
      </c>
      <c r="M14" s="4" t="s">
        <v>9</v>
      </c>
      <c r="N14" s="4" t="s">
        <v>9</v>
      </c>
      <c r="O14" s="8" t="s">
        <v>17</v>
      </c>
      <c r="P14" s="4" t="s">
        <v>9</v>
      </c>
      <c r="Q14" s="4" t="s">
        <v>9</v>
      </c>
      <c r="R14" s="4" t="s">
        <v>9</v>
      </c>
      <c r="S14" s="4" t="s">
        <v>9</v>
      </c>
      <c r="T14" s="4" t="s">
        <v>9</v>
      </c>
      <c r="U14" s="4" t="s">
        <v>9</v>
      </c>
      <c r="V14" s="8" t="s">
        <v>17</v>
      </c>
      <c r="W14" s="4" t="s">
        <v>9</v>
      </c>
      <c r="X14" s="4" t="s">
        <v>9</v>
      </c>
      <c r="Y14" s="4" t="s">
        <v>9</v>
      </c>
      <c r="Z14" s="4" t="s">
        <v>9</v>
      </c>
      <c r="AA14" s="4" t="s">
        <v>9</v>
      </c>
      <c r="AB14" s="4" t="s">
        <v>9</v>
      </c>
      <c r="AC14" s="8" t="s">
        <v>17</v>
      </c>
      <c r="AD14" s="4" t="s">
        <v>9</v>
      </c>
      <c r="AE14" s="4" t="s">
        <v>9</v>
      </c>
      <c r="AF14" s="4" t="s">
        <v>9</v>
      </c>
      <c r="AG14" s="4" t="s">
        <v>9</v>
      </c>
      <c r="AH14" s="4" t="s">
        <v>9</v>
      </c>
      <c r="AI14" s="4" t="s">
        <v>40</v>
      </c>
      <c r="AJ14" s="10">
        <f t="shared" si="0"/>
        <v>26</v>
      </c>
      <c r="AK14" s="10">
        <f t="shared" si="1"/>
        <v>4</v>
      </c>
      <c r="AL14" s="10">
        <f t="shared" si="2"/>
        <v>0</v>
      </c>
      <c r="AM14" s="10">
        <f t="shared" si="3"/>
        <v>0</v>
      </c>
      <c r="AN14" s="10">
        <f t="shared" si="4"/>
        <v>30</v>
      </c>
      <c r="AO14" s="11"/>
    </row>
    <row r="15" spans="1:41" ht="30" customHeight="1" x14ac:dyDescent="0.3">
      <c r="A15" s="4">
        <f t="shared" si="5"/>
        <v>8</v>
      </c>
      <c r="B15" s="5" t="s">
        <v>37</v>
      </c>
      <c r="C15" s="6" t="s">
        <v>15</v>
      </c>
      <c r="D15" s="7" t="s">
        <v>3</v>
      </c>
      <c r="E15" s="4" t="s">
        <v>9</v>
      </c>
      <c r="F15" s="4" t="s">
        <v>9</v>
      </c>
      <c r="G15" s="4" t="s">
        <v>9</v>
      </c>
      <c r="H15" s="8" t="s">
        <v>17</v>
      </c>
      <c r="I15" s="4" t="s">
        <v>9</v>
      </c>
      <c r="J15" s="4" t="s">
        <v>9</v>
      </c>
      <c r="K15" s="4" t="s">
        <v>9</v>
      </c>
      <c r="L15" s="4" t="s">
        <v>9</v>
      </c>
      <c r="M15" s="8" t="s">
        <v>21</v>
      </c>
      <c r="N15" s="8" t="s">
        <v>21</v>
      </c>
      <c r="O15" s="8" t="s">
        <v>21</v>
      </c>
      <c r="P15" s="8" t="s">
        <v>21</v>
      </c>
      <c r="Q15" s="4" t="s">
        <v>9</v>
      </c>
      <c r="R15" s="4" t="s">
        <v>9</v>
      </c>
      <c r="S15" s="4" t="s">
        <v>9</v>
      </c>
      <c r="T15" s="4" t="s">
        <v>9</v>
      </c>
      <c r="U15" s="4" t="s">
        <v>9</v>
      </c>
      <c r="V15" s="8" t="s">
        <v>17</v>
      </c>
      <c r="W15" s="4" t="s">
        <v>9</v>
      </c>
      <c r="X15" s="4" t="s">
        <v>9</v>
      </c>
      <c r="Y15" s="4" t="s">
        <v>9</v>
      </c>
      <c r="Z15" s="4" t="s">
        <v>9</v>
      </c>
      <c r="AA15" s="4" t="s">
        <v>9</v>
      </c>
      <c r="AB15" s="4" t="s">
        <v>9</v>
      </c>
      <c r="AC15" s="8" t="s">
        <v>17</v>
      </c>
      <c r="AD15" s="4" t="s">
        <v>9</v>
      </c>
      <c r="AE15" s="4" t="s">
        <v>9</v>
      </c>
      <c r="AF15" s="4" t="s">
        <v>9</v>
      </c>
      <c r="AG15" s="4" t="s">
        <v>9</v>
      </c>
      <c r="AH15" s="4" t="s">
        <v>9</v>
      </c>
      <c r="AI15" s="4" t="s">
        <v>40</v>
      </c>
      <c r="AJ15" s="10">
        <f t="shared" si="0"/>
        <v>23</v>
      </c>
      <c r="AK15" s="10">
        <f t="shared" si="1"/>
        <v>3</v>
      </c>
      <c r="AL15" s="10">
        <f t="shared" si="2"/>
        <v>0</v>
      </c>
      <c r="AM15" s="10">
        <f t="shared" si="3"/>
        <v>0</v>
      </c>
      <c r="AN15" s="10">
        <f t="shared" si="4"/>
        <v>26</v>
      </c>
      <c r="AO15" s="11"/>
    </row>
    <row r="16" spans="1:41" ht="30" customHeight="1" x14ac:dyDescent="0.3">
      <c r="A16" s="4">
        <f t="shared" si="5"/>
        <v>9</v>
      </c>
      <c r="B16" s="5" t="s">
        <v>38</v>
      </c>
      <c r="C16" s="6" t="s">
        <v>26</v>
      </c>
      <c r="D16" s="7" t="s">
        <v>3</v>
      </c>
      <c r="E16" s="8" t="s">
        <v>22</v>
      </c>
      <c r="F16" s="8" t="s">
        <v>21</v>
      </c>
      <c r="G16" s="4" t="s">
        <v>9</v>
      </c>
      <c r="H16" s="4" t="s">
        <v>9</v>
      </c>
      <c r="I16" s="4" t="s">
        <v>9</v>
      </c>
      <c r="J16" s="4" t="s">
        <v>9</v>
      </c>
      <c r="K16" s="9" t="s">
        <v>9</v>
      </c>
      <c r="L16" s="4" t="s">
        <v>9</v>
      </c>
      <c r="M16" s="4" t="s">
        <v>9</v>
      </c>
      <c r="N16" s="4" t="s">
        <v>9</v>
      </c>
      <c r="O16" s="8" t="s">
        <v>17</v>
      </c>
      <c r="P16" s="4" t="s">
        <v>9</v>
      </c>
      <c r="Q16" s="4" t="s">
        <v>9</v>
      </c>
      <c r="R16" s="9" t="s">
        <v>9</v>
      </c>
      <c r="S16" s="4" t="s">
        <v>9</v>
      </c>
      <c r="T16" s="4" t="s">
        <v>9</v>
      </c>
      <c r="U16" s="8" t="s">
        <v>17</v>
      </c>
      <c r="V16" s="4" t="s">
        <v>9</v>
      </c>
      <c r="W16" s="4" t="s">
        <v>9</v>
      </c>
      <c r="X16" s="4" t="s">
        <v>9</v>
      </c>
      <c r="Y16" s="4" t="s">
        <v>9</v>
      </c>
      <c r="Z16" s="4" t="s">
        <v>9</v>
      </c>
      <c r="AA16" s="4" t="s">
        <v>9</v>
      </c>
      <c r="AB16" s="4" t="s">
        <v>9</v>
      </c>
      <c r="AC16" s="8" t="s">
        <v>17</v>
      </c>
      <c r="AD16" s="8" t="s">
        <v>22</v>
      </c>
      <c r="AE16" s="4" t="s">
        <v>9</v>
      </c>
      <c r="AF16" s="9" t="s">
        <v>9</v>
      </c>
      <c r="AG16" s="4" t="s">
        <v>9</v>
      </c>
      <c r="AH16" s="8" t="s">
        <v>17</v>
      </c>
      <c r="AI16" s="4" t="s">
        <v>40</v>
      </c>
      <c r="AJ16" s="10">
        <f t="shared" si="0"/>
        <v>23</v>
      </c>
      <c r="AK16" s="10">
        <f t="shared" si="1"/>
        <v>4</v>
      </c>
      <c r="AL16" s="10">
        <f t="shared" si="2"/>
        <v>2</v>
      </c>
      <c r="AM16" s="10">
        <f t="shared" si="3"/>
        <v>0</v>
      </c>
      <c r="AN16" s="10">
        <f t="shared" si="4"/>
        <v>29</v>
      </c>
      <c r="AO16" s="11"/>
    </row>
    <row r="17" spans="1:41" ht="30" customHeight="1" x14ac:dyDescent="0.3">
      <c r="A17" s="4">
        <f t="shared" si="5"/>
        <v>10</v>
      </c>
      <c r="B17" s="5" t="s">
        <v>39</v>
      </c>
      <c r="C17" s="6" t="s">
        <v>16</v>
      </c>
      <c r="D17" s="7" t="s">
        <v>3</v>
      </c>
      <c r="E17" s="4" t="s">
        <v>9</v>
      </c>
      <c r="F17" s="4" t="s">
        <v>9</v>
      </c>
      <c r="G17" s="4" t="s">
        <v>9</v>
      </c>
      <c r="H17" s="8" t="s">
        <v>17</v>
      </c>
      <c r="I17" s="4" t="s">
        <v>9</v>
      </c>
      <c r="J17" s="4" t="s">
        <v>9</v>
      </c>
      <c r="K17" s="4" t="s">
        <v>9</v>
      </c>
      <c r="L17" s="4" t="s">
        <v>9</v>
      </c>
      <c r="M17" s="4" t="s">
        <v>9</v>
      </c>
      <c r="N17" s="4" t="s">
        <v>9</v>
      </c>
      <c r="O17" s="8" t="s">
        <v>17</v>
      </c>
      <c r="P17" s="4" t="s">
        <v>9</v>
      </c>
      <c r="Q17" s="4" t="s">
        <v>9</v>
      </c>
      <c r="R17" s="4" t="s">
        <v>9</v>
      </c>
      <c r="S17" s="4" t="s">
        <v>9</v>
      </c>
      <c r="T17" s="4" t="s">
        <v>9</v>
      </c>
      <c r="U17" s="4" t="s">
        <v>9</v>
      </c>
      <c r="V17" s="8" t="s">
        <v>17</v>
      </c>
      <c r="W17" s="4" t="s">
        <v>9</v>
      </c>
      <c r="X17" s="4" t="s">
        <v>9</v>
      </c>
      <c r="Y17" s="4" t="s">
        <v>9</v>
      </c>
      <c r="Z17" s="4" t="s">
        <v>9</v>
      </c>
      <c r="AA17" s="4" t="s">
        <v>9</v>
      </c>
      <c r="AB17" s="4" t="s">
        <v>9</v>
      </c>
      <c r="AC17" s="8" t="s">
        <v>17</v>
      </c>
      <c r="AD17" s="8" t="s">
        <v>22</v>
      </c>
      <c r="AE17" s="4" t="s">
        <v>9</v>
      </c>
      <c r="AF17" s="4" t="s">
        <v>9</v>
      </c>
      <c r="AG17" s="4" t="s">
        <v>9</v>
      </c>
      <c r="AH17" s="4" t="s">
        <v>9</v>
      </c>
      <c r="AI17" s="4" t="s">
        <v>40</v>
      </c>
      <c r="AJ17" s="10">
        <f t="shared" si="0"/>
        <v>25</v>
      </c>
      <c r="AK17" s="10">
        <f t="shared" si="1"/>
        <v>4</v>
      </c>
      <c r="AL17" s="10">
        <f t="shared" si="2"/>
        <v>1</v>
      </c>
      <c r="AM17" s="10">
        <f t="shared" si="3"/>
        <v>0</v>
      </c>
      <c r="AN17" s="10">
        <f t="shared" si="4"/>
        <v>30</v>
      </c>
      <c r="AO17" s="11"/>
    </row>
    <row r="18" spans="1:41" ht="30" customHeight="1" x14ac:dyDescent="0.3">
      <c r="A18" s="4">
        <f t="shared" si="5"/>
        <v>11</v>
      </c>
      <c r="B18" s="5" t="s">
        <v>39</v>
      </c>
      <c r="C18" s="6" t="s">
        <v>16</v>
      </c>
      <c r="D18" s="7" t="s">
        <v>3</v>
      </c>
      <c r="E18" s="4" t="s">
        <v>9</v>
      </c>
      <c r="F18" s="4" t="s">
        <v>9</v>
      </c>
      <c r="G18" s="4" t="s">
        <v>9</v>
      </c>
      <c r="H18" s="8" t="s">
        <v>17</v>
      </c>
      <c r="I18" s="4" t="s">
        <v>9</v>
      </c>
      <c r="J18" s="4" t="s">
        <v>9</v>
      </c>
      <c r="K18" s="4" t="s">
        <v>9</v>
      </c>
      <c r="L18" s="4" t="s">
        <v>9</v>
      </c>
      <c r="M18" s="4" t="s">
        <v>9</v>
      </c>
      <c r="N18" s="4" t="s">
        <v>9</v>
      </c>
      <c r="O18" s="8" t="s">
        <v>17</v>
      </c>
      <c r="P18" s="4" t="s">
        <v>9</v>
      </c>
      <c r="Q18" s="4" t="s">
        <v>9</v>
      </c>
      <c r="R18" s="4" t="s">
        <v>9</v>
      </c>
      <c r="S18" s="4" t="s">
        <v>9</v>
      </c>
      <c r="T18" s="4" t="s">
        <v>9</v>
      </c>
      <c r="U18" s="4" t="s">
        <v>9</v>
      </c>
      <c r="V18" s="8" t="s">
        <v>17</v>
      </c>
      <c r="W18" s="4" t="s">
        <v>9</v>
      </c>
      <c r="X18" s="4" t="s">
        <v>9</v>
      </c>
      <c r="Y18" s="4" t="s">
        <v>9</v>
      </c>
      <c r="Z18" s="4" t="s">
        <v>9</v>
      </c>
      <c r="AA18" s="4" t="s">
        <v>9</v>
      </c>
      <c r="AB18" s="4" t="s">
        <v>9</v>
      </c>
      <c r="AC18" s="8" t="s">
        <v>17</v>
      </c>
      <c r="AD18" s="8" t="s">
        <v>22</v>
      </c>
      <c r="AE18" s="4" t="s">
        <v>9</v>
      </c>
      <c r="AF18" s="4" t="s">
        <v>9</v>
      </c>
      <c r="AG18" s="4" t="s">
        <v>9</v>
      </c>
      <c r="AH18" s="4" t="s">
        <v>9</v>
      </c>
      <c r="AI18" s="4" t="s">
        <v>40</v>
      </c>
      <c r="AJ18" s="10">
        <f t="shared" si="0"/>
        <v>25</v>
      </c>
      <c r="AK18" s="10">
        <f t="shared" si="1"/>
        <v>4</v>
      </c>
      <c r="AL18" s="10">
        <f t="shared" si="2"/>
        <v>1</v>
      </c>
      <c r="AM18" s="10">
        <f t="shared" si="3"/>
        <v>0</v>
      </c>
      <c r="AN18" s="10">
        <f t="shared" ref="AN18" si="6">AJ18+AK18+AL18</f>
        <v>30</v>
      </c>
      <c r="AO18" s="11"/>
    </row>
    <row r="19" spans="1:41" ht="17.25" x14ac:dyDescent="0.3">
      <c r="A19" s="12"/>
      <c r="B19" s="1"/>
      <c r="C19" s="1"/>
      <c r="D19" s="1" t="s">
        <v>29</v>
      </c>
      <c r="E19" s="1">
        <f t="shared" ref="E19:AH19" si="7">COUNTIF(E8:E17,"P")</f>
        <v>8</v>
      </c>
      <c r="F19" s="1">
        <f t="shared" si="7"/>
        <v>9</v>
      </c>
      <c r="G19" s="1">
        <f t="shared" si="7"/>
        <v>10</v>
      </c>
      <c r="H19" s="1">
        <f t="shared" si="7"/>
        <v>3</v>
      </c>
      <c r="I19" s="1">
        <f t="shared" si="7"/>
        <v>10</v>
      </c>
      <c r="J19" s="1">
        <f t="shared" si="7"/>
        <v>10</v>
      </c>
      <c r="K19" s="1">
        <f t="shared" si="7"/>
        <v>10</v>
      </c>
      <c r="L19" s="1">
        <f t="shared" si="7"/>
        <v>10</v>
      </c>
      <c r="M19" s="1">
        <f t="shared" si="7"/>
        <v>9</v>
      </c>
      <c r="N19" s="1">
        <f t="shared" si="7"/>
        <v>9</v>
      </c>
      <c r="O19" s="1">
        <f t="shared" si="7"/>
        <v>3</v>
      </c>
      <c r="P19" s="1">
        <f t="shared" si="7"/>
        <v>9</v>
      </c>
      <c r="Q19" s="1">
        <f t="shared" si="7"/>
        <v>10</v>
      </c>
      <c r="R19" s="1">
        <f t="shared" si="7"/>
        <v>10</v>
      </c>
      <c r="S19" s="1">
        <f t="shared" si="7"/>
        <v>9</v>
      </c>
      <c r="T19" s="1">
        <f t="shared" si="7"/>
        <v>10</v>
      </c>
      <c r="U19" s="1">
        <f t="shared" si="7"/>
        <v>9</v>
      </c>
      <c r="V19" s="1">
        <f t="shared" si="7"/>
        <v>3</v>
      </c>
      <c r="W19" s="1">
        <f t="shared" si="7"/>
        <v>9</v>
      </c>
      <c r="X19" s="1">
        <f t="shared" si="7"/>
        <v>8</v>
      </c>
      <c r="Y19" s="1">
        <f t="shared" si="7"/>
        <v>10</v>
      </c>
      <c r="Z19" s="1">
        <f t="shared" si="7"/>
        <v>10</v>
      </c>
      <c r="AA19" s="1">
        <f t="shared" si="7"/>
        <v>10</v>
      </c>
      <c r="AB19" s="1">
        <f t="shared" si="7"/>
        <v>8</v>
      </c>
      <c r="AC19" s="1">
        <f t="shared" si="7"/>
        <v>1</v>
      </c>
      <c r="AD19" s="1">
        <f t="shared" si="7"/>
        <v>8</v>
      </c>
      <c r="AE19" s="1">
        <f t="shared" si="7"/>
        <v>10</v>
      </c>
      <c r="AF19" s="1">
        <f t="shared" si="7"/>
        <v>9</v>
      </c>
      <c r="AG19" s="1">
        <f t="shared" si="7"/>
        <v>9</v>
      </c>
      <c r="AH19" s="1">
        <f t="shared" si="7"/>
        <v>9</v>
      </c>
      <c r="AI19" s="1"/>
      <c r="AJ19" s="1">
        <f>SUM(E19:AH19)</f>
        <v>252</v>
      </c>
      <c r="AK19" s="1"/>
      <c r="AL19" s="1"/>
      <c r="AM19" s="1"/>
      <c r="AN19" s="1"/>
      <c r="AO19" s="1"/>
    </row>
    <row r="20" spans="1:41" ht="17.25" x14ac:dyDescent="0.3">
      <c r="A20" s="12"/>
      <c r="B20" s="1"/>
      <c r="C20" s="1"/>
      <c r="D20" s="1" t="s">
        <v>27</v>
      </c>
      <c r="E20" s="1">
        <f t="shared" ref="E20:AH20" si="8">COUNTIF(E8:E17,"W/O")</f>
        <v>1</v>
      </c>
      <c r="F20" s="1">
        <f t="shared" si="8"/>
        <v>0</v>
      </c>
      <c r="G20" s="1">
        <f t="shared" si="8"/>
        <v>0</v>
      </c>
      <c r="H20" s="1">
        <f t="shared" si="8"/>
        <v>7</v>
      </c>
      <c r="I20" s="1">
        <f t="shared" si="8"/>
        <v>0</v>
      </c>
      <c r="J20" s="1">
        <f t="shared" si="8"/>
        <v>0</v>
      </c>
      <c r="K20" s="1">
        <f t="shared" si="8"/>
        <v>0</v>
      </c>
      <c r="L20" s="1">
        <f t="shared" si="8"/>
        <v>0</v>
      </c>
      <c r="M20" s="1">
        <f t="shared" si="8"/>
        <v>0</v>
      </c>
      <c r="N20" s="1">
        <f t="shared" si="8"/>
        <v>0</v>
      </c>
      <c r="O20" s="1">
        <f t="shared" si="8"/>
        <v>6</v>
      </c>
      <c r="P20" s="1">
        <f t="shared" si="8"/>
        <v>0</v>
      </c>
      <c r="Q20" s="1">
        <f t="shared" si="8"/>
        <v>0</v>
      </c>
      <c r="R20" s="1">
        <f t="shared" si="8"/>
        <v>0</v>
      </c>
      <c r="S20" s="1">
        <f t="shared" si="8"/>
        <v>1</v>
      </c>
      <c r="T20" s="1">
        <f t="shared" si="8"/>
        <v>0</v>
      </c>
      <c r="U20" s="1">
        <f t="shared" si="8"/>
        <v>1</v>
      </c>
      <c r="V20" s="1">
        <f t="shared" si="8"/>
        <v>7</v>
      </c>
      <c r="W20" s="1">
        <f t="shared" si="8"/>
        <v>0</v>
      </c>
      <c r="X20" s="1">
        <f t="shared" si="8"/>
        <v>2</v>
      </c>
      <c r="Y20" s="1">
        <f t="shared" si="8"/>
        <v>0</v>
      </c>
      <c r="Z20" s="1">
        <f t="shared" si="8"/>
        <v>0</v>
      </c>
      <c r="AA20" s="1">
        <f t="shared" si="8"/>
        <v>0</v>
      </c>
      <c r="AB20" s="1">
        <f t="shared" si="8"/>
        <v>2</v>
      </c>
      <c r="AC20" s="1">
        <f t="shared" si="8"/>
        <v>8</v>
      </c>
      <c r="AD20" s="1">
        <f t="shared" si="8"/>
        <v>0</v>
      </c>
      <c r="AE20" s="1">
        <f t="shared" si="8"/>
        <v>0</v>
      </c>
      <c r="AF20" s="1">
        <f t="shared" si="8"/>
        <v>1</v>
      </c>
      <c r="AG20" s="1">
        <f t="shared" si="8"/>
        <v>0</v>
      </c>
      <c r="AH20" s="1">
        <f t="shared" si="8"/>
        <v>1</v>
      </c>
      <c r="AI20" s="1"/>
      <c r="AJ20" s="1">
        <f>SUM(E20:AH20)</f>
        <v>37</v>
      </c>
      <c r="AK20" s="1"/>
      <c r="AL20" s="1"/>
      <c r="AM20" s="1"/>
      <c r="AN20" s="1"/>
      <c r="AO20" s="1"/>
    </row>
    <row r="21" spans="1:41" ht="17.25" x14ac:dyDescent="0.3">
      <c r="A21" s="12"/>
      <c r="B21" s="1"/>
      <c r="C21" s="1"/>
      <c r="D21" s="1" t="s">
        <v>28</v>
      </c>
      <c r="E21" s="1">
        <f t="shared" ref="E21:AH21" si="9">COUNTIF(E8:E17,"C/L")</f>
        <v>1</v>
      </c>
      <c r="F21" s="1">
        <f t="shared" si="9"/>
        <v>0</v>
      </c>
      <c r="G21" s="1">
        <f t="shared" si="9"/>
        <v>0</v>
      </c>
      <c r="H21" s="1">
        <f t="shared" si="9"/>
        <v>0</v>
      </c>
      <c r="I21" s="1">
        <f t="shared" si="9"/>
        <v>0</v>
      </c>
      <c r="J21" s="1">
        <f t="shared" si="9"/>
        <v>0</v>
      </c>
      <c r="K21" s="1">
        <f t="shared" si="9"/>
        <v>0</v>
      </c>
      <c r="L21" s="1">
        <f t="shared" si="9"/>
        <v>0</v>
      </c>
      <c r="M21" s="1">
        <f t="shared" si="9"/>
        <v>0</v>
      </c>
      <c r="N21" s="1">
        <f t="shared" si="9"/>
        <v>0</v>
      </c>
      <c r="O21" s="1">
        <f t="shared" si="9"/>
        <v>0</v>
      </c>
      <c r="P21" s="1">
        <f t="shared" si="9"/>
        <v>0</v>
      </c>
      <c r="Q21" s="1">
        <f t="shared" si="9"/>
        <v>0</v>
      </c>
      <c r="R21" s="1">
        <f t="shared" si="9"/>
        <v>0</v>
      </c>
      <c r="S21" s="1">
        <f t="shared" si="9"/>
        <v>0</v>
      </c>
      <c r="T21" s="1">
        <f t="shared" si="9"/>
        <v>0</v>
      </c>
      <c r="U21" s="1">
        <f t="shared" si="9"/>
        <v>0</v>
      </c>
      <c r="V21" s="1">
        <f t="shared" si="9"/>
        <v>0</v>
      </c>
      <c r="W21" s="1">
        <f t="shared" si="9"/>
        <v>1</v>
      </c>
      <c r="X21" s="1">
        <f t="shared" si="9"/>
        <v>0</v>
      </c>
      <c r="Y21" s="1">
        <f t="shared" si="9"/>
        <v>0</v>
      </c>
      <c r="Z21" s="1">
        <f t="shared" si="9"/>
        <v>0</v>
      </c>
      <c r="AA21" s="1">
        <f t="shared" si="9"/>
        <v>0</v>
      </c>
      <c r="AB21" s="1">
        <f t="shared" si="9"/>
        <v>0</v>
      </c>
      <c r="AC21" s="1">
        <f t="shared" si="9"/>
        <v>1</v>
      </c>
      <c r="AD21" s="1">
        <f t="shared" si="9"/>
        <v>2</v>
      </c>
      <c r="AE21" s="1">
        <f t="shared" si="9"/>
        <v>0</v>
      </c>
      <c r="AF21" s="1">
        <f t="shared" si="9"/>
        <v>0</v>
      </c>
      <c r="AG21" s="1">
        <f t="shared" si="9"/>
        <v>1</v>
      </c>
      <c r="AH21" s="1">
        <f t="shared" si="9"/>
        <v>0</v>
      </c>
      <c r="AI21" s="1"/>
      <c r="AJ21" s="1">
        <f>SUM(E21:AH21)</f>
        <v>6</v>
      </c>
      <c r="AK21" s="1"/>
      <c r="AL21" s="1"/>
      <c r="AM21" s="1"/>
      <c r="AN21" s="1"/>
      <c r="AO21" s="1"/>
    </row>
    <row r="22" spans="1:41" ht="17.25" x14ac:dyDescent="0.3">
      <c r="A22" s="12"/>
      <c r="B22" s="1"/>
      <c r="C22" s="1"/>
      <c r="D22" s="1"/>
      <c r="E22" s="1">
        <f>COUNTIF(E8:E17,"A")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>
        <f>SUM(AJ19:AJ21)</f>
        <v>295</v>
      </c>
      <c r="AK22" s="1"/>
      <c r="AL22" s="1"/>
      <c r="AM22" s="1"/>
      <c r="AN22" s="1"/>
      <c r="AO22" s="1"/>
    </row>
  </sheetData>
  <sheetProtection algorithmName="SHA-512" hashValue="Sz4qbxdoGDyHMR4CQW/b2TIk2O2nMwB3Yme4dO/C/JryBSRpG4LSdtdKazxO+0P7DahcKZZmOJHWXLIIg3l85A==" saltValue="zjIdcckSN6biFJ7mcQff7A==" spinCount="100000" sheet="1" objects="1" scenarios="1"/>
  <autoFilter ref="A7:AO17">
    <sortState ref="A4:AN270">
      <sortCondition ref="B3:B270"/>
    </sortState>
  </autoFilter>
  <mergeCells count="8">
    <mergeCell ref="A1:B1"/>
    <mergeCell ref="C1:H1"/>
    <mergeCell ref="A3:B3"/>
    <mergeCell ref="C3:H3"/>
    <mergeCell ref="A4:B4"/>
    <mergeCell ref="C4:H4"/>
    <mergeCell ref="A2:B2"/>
    <mergeCell ref="C2:H2"/>
  </mergeCells>
  <pageMargins left="0.7" right="0.7" top="0.75" bottom="0.75" header="0.3" footer="0.3"/>
  <pageSetup paperSize="5" scale="2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ATTDNS SEP 2022</vt:lpstr>
      <vt:lpstr>'ATTDNS SEP 2022'!Print_Titles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SPOORTHY HR</dc:creator>
  <cp:lastModifiedBy>RAMEEZ</cp:lastModifiedBy>
  <cp:lastPrinted>2022-10-10T12:05:27Z</cp:lastPrinted>
  <dcterms:created xsi:type="dcterms:W3CDTF">2021-07-30T04:29:58Z</dcterms:created>
  <dcterms:modified xsi:type="dcterms:W3CDTF">2023-04-05T06:38:12Z</dcterms:modified>
</cp:coreProperties>
</file>